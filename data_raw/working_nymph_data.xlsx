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ua\OneDrive_Auburn\paper_and_projects\2025\working-nymph_longi\"/>
    </mc:Choice>
  </mc:AlternateContent>
  <xr:revisionPtr revIDLastSave="0" documentId="13_ncr:1_{D4C1C24B-F993-41AA-AE3D-A64EEA505EFC}" xr6:coauthVersionLast="47" xr6:coauthVersionMax="47" xr10:uidLastSave="{00000000-0000-0000-0000-000000000000}"/>
  <bookViews>
    <workbookView xWindow="-90" yWindow="0" windowWidth="9780" windowHeight="10170" xr2:uid="{51A6B896-A7E2-4278-9E07-DD39883E5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D5" i="1"/>
  <c r="C5" i="1"/>
  <c r="D4" i="1"/>
  <c r="C4" i="1"/>
  <c r="D3" i="1"/>
  <c r="C3" i="1"/>
  <c r="C9" i="1"/>
  <c r="D9" i="1"/>
  <c r="C10" i="1"/>
  <c r="D10" i="1"/>
  <c r="C7" i="1"/>
  <c r="D7" i="1"/>
  <c r="C8" i="1"/>
  <c r="D8" i="1"/>
  <c r="D2" i="1"/>
  <c r="C2" i="1"/>
</calcChain>
</file>

<file path=xl/sharedStrings.xml><?xml version="1.0" encoding="utf-8"?>
<sst xmlns="http://schemas.openxmlformats.org/spreadsheetml/2006/main" count="46" uniqueCount="28">
  <si>
    <t>nymph carrying brood</t>
  </si>
  <si>
    <t xml:space="preserve"> </t>
  </si>
  <si>
    <t>nymph</t>
  </si>
  <si>
    <t>disturbed</t>
  </si>
  <si>
    <t>trail disturbance due to backflow</t>
  </si>
  <si>
    <t>This nymph is carrying brood!</t>
  </si>
  <si>
    <t>nymph carring brood again. Maybe more common than I think in this . But interesting.</t>
  </si>
  <si>
    <t>inc one big loop due to sep</t>
  </si>
  <si>
    <t>working nymph</t>
  </si>
  <si>
    <t>from here end points were largely changed</t>
  </si>
  <si>
    <t>maybe same one as above</t>
  </si>
  <si>
    <t>separatipn roop</t>
  </si>
  <si>
    <t>diisturbance</t>
  </si>
  <si>
    <t>end</t>
  </si>
  <si>
    <t>video</t>
  </si>
  <si>
    <t>start</t>
  </si>
  <si>
    <t>termite</t>
  </si>
  <si>
    <t>behavior</t>
  </si>
  <si>
    <t>note1</t>
  </si>
  <si>
    <t>note2</t>
  </si>
  <si>
    <t>note3</t>
  </si>
  <si>
    <t>seq</t>
  </si>
  <si>
    <t>start-seq</t>
  </si>
  <si>
    <t>end-seq</t>
  </si>
  <si>
    <t>Lon_lon_NM23074_nest-emigration_230607_01.mp4</t>
  </si>
  <si>
    <t>Lon_lon_NM23074_nest-emigration_230607_05.mp4</t>
  </si>
  <si>
    <t>Lon_lon_NM23074_nest-emigration_230607_07.mp4</t>
  </si>
  <si>
    <t>Lon_lon_NM23074_nest-emigration_230607_09.mp4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</si>
</sst>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8D56-40A8-46F5-BD5F-AF2D624159AF}">
  <dimension ref="A1:AF723"/>
  <sheetViews>
    <sheetView tabSelected="1" workbookViewId="0">
      <selection activeCell="F3" sqref="F3"/>
    </sheetView>
  </sheetViews>
  <sheetFormatPr defaultRowHeight="14.5" x14ac:dyDescent="0.35"/>
  <cols>
    <col min="1" max="1" width="13.81640625" bestFit="1" customWidth="1"/>
    <col min="2" max="2" width="4.1796875" bestFit="1" customWidth="1"/>
    <col min="3" max="3" width="6" customWidth="1"/>
    <col min="4" max="4" width="8" bestFit="1" customWidth="1"/>
  </cols>
  <sheetData>
    <row r="1" spans="1:11" x14ac:dyDescent="0.35">
      <c r="A1" t="s">
        <v>14</v>
      </c>
      <c r="B1" t="s">
        <v>21</v>
      </c>
      <c r="C1" t="s">
        <v>15</v>
      </c>
      <c r="D1" t="s">
        <v>13</v>
      </c>
      <c r="E1" t="s">
        <v>22</v>
      </c>
      <c r="F1" t="s">
        <v>23</v>
      </c>
      <c r="G1" t="s">
        <v>17</v>
      </c>
      <c r="H1" t="s">
        <v>16</v>
      </c>
      <c r="I1" t="s">
        <v>18</v>
      </c>
      <c r="J1" t="s">
        <v>19</v>
      </c>
      <c r="K1" t="s">
        <v>20</v>
      </c>
    </row>
    <row r="2" spans="1:11" x14ac:dyDescent="0.35">
      <c r="A2" t="s">
        <v>24</v>
      </c>
      <c r="B2">
        <v>1</v>
      </c>
      <c r="C2">
        <f>E2-54000</f>
        <v>13035</v>
      </c>
      <c r="D2">
        <f>F2-54000</f>
        <v>13225</v>
      </c>
      <c r="E2">
        <v>67035</v>
      </c>
      <c r="F2">
        <v>67225</v>
      </c>
      <c r="G2" t="s">
        <v>8</v>
      </c>
      <c r="H2" t="s">
        <v>0</v>
      </c>
    </row>
    <row r="3" spans="1:11" x14ac:dyDescent="0.35">
      <c r="A3" t="s">
        <v>25</v>
      </c>
      <c r="B3">
        <v>2</v>
      </c>
      <c r="C3">
        <f>E3-54000*5</f>
        <v>33147</v>
      </c>
      <c r="D3">
        <f>F3-54000*5</f>
        <v>33339</v>
      </c>
      <c r="E3">
        <v>303147</v>
      </c>
      <c r="F3">
        <v>303339</v>
      </c>
      <c r="G3" t="s">
        <v>8</v>
      </c>
      <c r="H3" t="s">
        <v>2</v>
      </c>
      <c r="I3" t="s">
        <v>8</v>
      </c>
    </row>
    <row r="4" spans="1:11" x14ac:dyDescent="0.35">
      <c r="A4" t="s">
        <v>25</v>
      </c>
      <c r="B4">
        <v>3</v>
      </c>
      <c r="C4">
        <f>E4-54000*5</f>
        <v>37134</v>
      </c>
      <c r="D4">
        <f>F4-54000*5</f>
        <v>37318</v>
      </c>
      <c r="E4">
        <v>307134</v>
      </c>
      <c r="F4">
        <v>307318</v>
      </c>
    </row>
    <row r="5" spans="1:11" x14ac:dyDescent="0.35">
      <c r="A5" t="s">
        <v>26</v>
      </c>
      <c r="B5">
        <v>4</v>
      </c>
      <c r="C5">
        <f t="shared" ref="C5:D8" si="0">E5-54000*7</f>
        <v>16835</v>
      </c>
      <c r="D5">
        <f t="shared" si="0"/>
        <v>16997</v>
      </c>
      <c r="E5">
        <v>394835</v>
      </c>
      <c r="F5">
        <v>394997</v>
      </c>
    </row>
    <row r="6" spans="1:11" x14ac:dyDescent="0.35">
      <c r="A6" t="s">
        <v>26</v>
      </c>
      <c r="B6">
        <v>5</v>
      </c>
      <c r="C6">
        <f t="shared" si="0"/>
        <v>25947</v>
      </c>
      <c r="D6">
        <f t="shared" si="0"/>
        <v>26113</v>
      </c>
      <c r="E6">
        <v>403947</v>
      </c>
      <c r="F6">
        <v>404113</v>
      </c>
    </row>
    <row r="7" spans="1:11" x14ac:dyDescent="0.35">
      <c r="A7" t="s">
        <v>26</v>
      </c>
      <c r="B7">
        <v>6</v>
      </c>
      <c r="C7">
        <f t="shared" si="0"/>
        <v>28152</v>
      </c>
      <c r="D7">
        <f t="shared" si="0"/>
        <v>28337</v>
      </c>
      <c r="E7">
        <v>406152</v>
      </c>
      <c r="F7">
        <v>406337</v>
      </c>
      <c r="G7" t="s">
        <v>8</v>
      </c>
      <c r="H7" t="s">
        <v>2</v>
      </c>
      <c r="I7" t="s">
        <v>5</v>
      </c>
    </row>
    <row r="8" spans="1:11" x14ac:dyDescent="0.35">
      <c r="A8" t="s">
        <v>26</v>
      </c>
      <c r="B8">
        <v>7</v>
      </c>
      <c r="C8">
        <f t="shared" si="0"/>
        <v>29826</v>
      </c>
      <c r="D8">
        <f t="shared" si="0"/>
        <v>29989</v>
      </c>
      <c r="E8">
        <v>407826</v>
      </c>
      <c r="F8">
        <v>407989</v>
      </c>
      <c r="G8" t="s">
        <v>8</v>
      </c>
      <c r="H8" t="s">
        <v>2</v>
      </c>
      <c r="I8" t="s">
        <v>6</v>
      </c>
    </row>
    <row r="9" spans="1:11" x14ac:dyDescent="0.35">
      <c r="A9" t="s">
        <v>27</v>
      </c>
      <c r="B9">
        <v>8</v>
      </c>
      <c r="C9">
        <f>E9-54000*9</f>
        <v>2613</v>
      </c>
      <c r="D9">
        <f>F9-54000*9</f>
        <v>2781</v>
      </c>
      <c r="E9">
        <v>488613</v>
      </c>
      <c r="F9">
        <v>488781</v>
      </c>
      <c r="G9" t="s">
        <v>8</v>
      </c>
      <c r="H9" t="s">
        <v>2</v>
      </c>
      <c r="I9" t="s">
        <v>8</v>
      </c>
    </row>
    <row r="10" spans="1:11" x14ac:dyDescent="0.35">
      <c r="A10" t="s">
        <v>27</v>
      </c>
      <c r="B10">
        <v>9</v>
      </c>
      <c r="C10">
        <f>E10-54000*9</f>
        <v>8835</v>
      </c>
      <c r="D10">
        <f>F10-54000*9</f>
        <v>9006</v>
      </c>
      <c r="E10">
        <v>494835</v>
      </c>
      <c r="F10">
        <v>495006</v>
      </c>
      <c r="G10" t="s">
        <v>8</v>
      </c>
      <c r="H10" t="s">
        <v>2</v>
      </c>
      <c r="I10" t="s">
        <v>8</v>
      </c>
    </row>
    <row r="101" spans="32:32" x14ac:dyDescent="0.35">
      <c r="AF101" t="s">
        <v>1</v>
      </c>
    </row>
    <row r="313" spans="9:9" x14ac:dyDescent="0.35">
      <c r="I313" t="s">
        <v>4</v>
      </c>
    </row>
    <row r="389" spans="9:9" x14ac:dyDescent="0.35">
      <c r="I389" t="s">
        <v>3</v>
      </c>
    </row>
    <row r="429" spans="9:9" x14ac:dyDescent="0.35">
      <c r="I429" t="s">
        <v>7</v>
      </c>
    </row>
    <row r="450" spans="9:9" x14ac:dyDescent="0.35">
      <c r="I450" t="s">
        <v>9</v>
      </c>
    </row>
    <row r="463" spans="9:9" x14ac:dyDescent="0.35">
      <c r="I463" t="s">
        <v>11</v>
      </c>
    </row>
    <row r="471" spans="9:9" x14ac:dyDescent="0.35">
      <c r="I471" t="s">
        <v>12</v>
      </c>
    </row>
    <row r="485" spans="9:9" x14ac:dyDescent="0.35">
      <c r="I485" t="s">
        <v>10</v>
      </c>
    </row>
    <row r="487" spans="9:9" x14ac:dyDescent="0.35">
      <c r="I487" t="s">
        <v>10</v>
      </c>
    </row>
    <row r="572" spans="9:9" x14ac:dyDescent="0.35">
      <c r="I572" s="1"/>
    </row>
    <row r="723" spans="8:8" x14ac:dyDescent="0.35">
      <c r="H723" s="2"/>
    </row>
  </sheetData>
  <sortState xmlns:xlrd2="http://schemas.microsoft.com/office/spreadsheetml/2017/richdata2" ref="A2:K10">
    <sortCondition ref="E1:E1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Nobuaki Mizumoto</dc:creator>
  <cp:lastModifiedBy>Nobuaki Mizumoto</cp:lastModifiedBy>
  <dcterms:created xsi:type="dcterms:W3CDTF">2024-12-21T03:03:22Z</dcterms:created>
  <dcterms:modified xsi:type="dcterms:W3CDTF">2025-06-21T11:06:50Z</dcterms:modified>
</cp:coreProperties>
</file>